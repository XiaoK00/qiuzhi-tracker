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8a38a57c324d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求职总览" sheetId="1" r:id="R68b137b2e16c40c6"/>
    <x:sheet xmlns:r="http://schemas.openxmlformats.org/officeDocument/2006/relationships" name="企业池" sheetId="2" r:id="R959f44ea6ca04ac5"/>
    <x:sheet xmlns:r="http://schemas.openxmlformats.org/officeDocument/2006/relationships" name="岗位清单" sheetId="3" r:id="R9475e4102c154c54"/>
    <x:sheet xmlns:r="http://schemas.openxmlformats.org/officeDocument/2006/relationships" name="投递进度" sheetId="4" r:id="R4e07422201414b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83B56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0F766E"/>
      </x:patternFill>
    </x:fill>
    <x:fill>
      <x:patternFill patternType="solid">
        <x:fgColor rgb="FFE8F3F1"/>
      </x:patternFill>
    </x:fill>
  </x:fills>
  <x:borders count="4">
    <x:border/>
    <x:border>
      <x:left style="thin">
        <x:color rgb="FF94A3B8"/>
      </x:left>
      <x:top style="thin">
        <x:color rgb="FF94A3B8"/>
      </x:top>
      <x:bottom style="thin">
        <x:color rgb="FF94A3B8"/>
      </x:bottom>
    </x:border>
    <x:border>
      <x:top style="thin">
        <x:color rgb="FF94A3B8"/>
      </x:top>
      <x:bottom style="thin">
        <x:color rgb="FF94A3B8"/>
      </x:bottom>
    </x:border>
    <x:border>
      <x:right style="thin">
        <x:color rgb="FF94A3B8"/>
      </x:right>
      <x:top style="thin">
        <x:color rgb="FF94A3B8"/>
      </x:top>
      <x:bottom style="thin">
        <x:color rgb="FF94A3B8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9a03cf73f34731" /><Relationship Type="http://schemas.openxmlformats.org/officeDocument/2006/relationships/theme" Target="/xl/theme/theme1.xml" Id="R28c5ec6dc3274bfa" /><Relationship Type="http://schemas.openxmlformats.org/officeDocument/2006/relationships/sharedStrings" Target="/xl/sharedStrings.xml" Id="R0df801ab52d24166" /><Relationship Type="http://schemas.openxmlformats.org/officeDocument/2006/relationships/worksheet" Target="/xl/worksheets/sheet1.xml" Id="R68b137b2e16c40c6" /><Relationship Type="http://schemas.openxmlformats.org/officeDocument/2006/relationships/worksheet" Target="/xl/worksheets/sheet2.xml" Id="R959f44ea6ca04ac5" /><Relationship Type="http://schemas.openxmlformats.org/officeDocument/2006/relationships/worksheet" Target="/xl/worksheets/sheet3.xml" Id="R9475e4102c154c54" /><Relationship Type="http://schemas.openxmlformats.org/officeDocument/2006/relationships/worksheet" Target="/xl/worksheets/sheet4.xml" Id="R4e07422201414bf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8" hidden="0" customWidth="1"/>
  </x:cols>
  <x:sheetData>
    <x:row r="1" ht="34" customHeight="1">
      <x:c r="A1" s="3" t="str">
        <x:v>Qiuzhi Tracker v1.1.0｜通用求职追踪表</x:v>
      </x:c>
      <x:c r="B1" s="3"/>
      <x:c r="C1" s="3"/>
      <x:c r="D1" s="3"/>
      <x:c r="E1" s="3"/>
      <x:c r="F1" s="3"/>
      <x:c r="G1" s="3"/>
      <x:c r="H1" s="3"/>
    </x:row>
    <x:row r="3">
      <x:c r="A3" s="6" t="str">
        <x:v>项目</x:v>
      </x:c>
      <x:c r="B3" s="6" t="str">
        <x:v>值</x:v>
      </x:c>
    </x:row>
    <x:row r="4">
      <x:c r="A4" t="str">
        <x:v>任务规模</x:v>
      </x:c>
      <x:c r="B4" t="str">
        <x:v>标准｜50–80 家企业｜15–25 个深度核验岗位</x:v>
      </x:c>
    </x:row>
    <x:row r="5">
      <x:c r="A5" t="str">
        <x:v>核验基准日</x:v>
      </x:c>
      <x:c r="B5" s="4" t="n">
        <x:v>46236</x:v>
      </x:c>
    </x:row>
    <x:row r="6">
      <x:c r="A6" t="str">
        <x:v>候选企业数</x:v>
      </x:c>
      <x:c r="B6" t="n">
        <x:f>COUNTA('企业池'!$A$3:$A$102)</x:f>
        <x:v>6</x:v>
      </x:c>
    </x:row>
    <x:row r="7">
      <x:c r="A7" t="str">
        <x:v>岗位数</x:v>
      </x:c>
      <x:c r="B7" t="n">
        <x:f>COUNTA('岗位清单'!$A$3:$A$102)</x:f>
        <x:v>5</x:v>
      </x:c>
    </x:row>
    <x:row r="8">
      <x:c r="A8" t="str">
        <x:v>当前可行动岗位</x:v>
      </x:c>
      <x:c r="B8" t="n">
        <x:f>COUNTIF('岗位清单'!$O$3:$O$102,"立即投递")+COUNTIF('岗位清单'!$O$3:$O$102,"本周投递")</x:f>
        <x:v>3</x:v>
      </x:c>
    </x:row>
    <x:row r="10">
      <x:c r="A10" s="9" t="str">
        <x:v>决策顺序：硬性门槛 → 优先条件 → 岗位价值 → 契合指数 → 当前行动</x:v>
      </x:c>
      <x:c r="B10" s="9"/>
      <x:c r="C10" s="9"/>
      <x:c r="D10" s="9"/>
      <x:c r="E10" s="9"/>
      <x:c r="F10" s="9"/>
      <x:c r="G10" s="9"/>
      <x:c r="H10" s="9"/>
    </x:row>
  </x:sheetData>
  <x:mergeCells>
    <x:mergeCell ref="A1:H1"/>
    <x:mergeCell ref="A10:H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8" hidden="0" customWidth="1"/>
  </x:cols>
  <x:sheetData>
    <x:row r="1">
      <x:c r="A1" s="20" t="str">
        <x:v>企业池</x:v>
      </x:c>
      <x:c r="B1" s="20"/>
      <x:c r="C1" s="20"/>
      <x:c r="D1" s="20"/>
      <x:c r="E1" s="20"/>
      <x:c r="F1" s="20"/>
      <x:c r="G1" s="20"/>
      <x:c r="H1" s="20"/>
      <x:c r="I1" s="20"/>
    </x:row>
    <x:row r="2">
      <x:c r="A2" s="17" t="str">
        <x:v>企业名称</x:v>
      </x:c>
      <x:c r="B2" s="18" t="str">
        <x:v>企业性质及规模</x:v>
      </x:c>
      <x:c r="C2" s="18" t="str">
        <x:v>行业</x:v>
      </x:c>
      <x:c r="D2" s="18" t="str">
        <x:v>主要地区</x:v>
      </x:c>
      <x:c r="E2" s="18" t="str">
        <x:v>适配岗位方向</x:v>
      </x:c>
      <x:c r="F2" s="18" t="str">
        <x:v>企业优先级</x:v>
      </x:c>
      <x:c r="G2" s="18" t="str">
        <x:v>核验状态</x:v>
      </x:c>
      <x:c r="H2" s="18" t="str">
        <x:v>招聘官网</x:v>
      </x:c>
      <x:c r="I2" s="19" t="str">
        <x:v>招聘线索与风险备注</x:v>
      </x:c>
    </x:row>
    <x:row r="3">
      <x:c r="A3" s="20" t="str">
        <x:v>青岚数字产品有限公司（虚构）</x:v>
      </x:c>
      <x:c r="B3" s="20" t="str">
        <x:v>民营｜中型企业</x:v>
      </x:c>
      <x:c r="C3" s="20" t="str">
        <x:v>数字产品与服务</x:v>
      </x:c>
      <x:c r="D3" s="20" t="str">
        <x:v>杭州、远程</x:v>
      </x:c>
      <x:c r="E3" s="20" t="str">
        <x:v>产品支持、用户运营、项目协调</x:v>
      </x:c>
      <x:c r="F3" s="20" t="str">
        <x:v>重点</x:v>
      </x:c>
      <x:c r="G3" s="20" t="str">
        <x:v>已发现岗位</x:v>
      </x:c>
      <x:c r="H3" s="20" t="str">
        <x:v>https://example.com/qinglan/careers</x:v>
      </x:c>
      <x:c r="I3" s="20" t="str">
        <x:v>虚构示例。招聘主体、岗位职责和申请入口清楚。</x:v>
      </x:c>
    </x:row>
    <x:row r="4">
      <x:c r="A4" s="20" t="str">
        <x:v>远山智能制造有限公司（虚构）</x:v>
      </x:c>
      <x:c r="B4" s="20" t="str">
        <x:v>民营｜大型企业</x:v>
      </x:c>
      <x:c r="C4" s="20" t="str">
        <x:v>智能制造</x:v>
      </x:c>
      <x:c r="D4" s="20" t="str">
        <x:v>苏州、上海</x:v>
      </x:c>
      <x:c r="E4" s="20" t="str">
        <x:v>供应链协调、项目管理、质量支持</x:v>
      </x:c>
      <x:c r="F4" s="20" t="str">
        <x:v>重点</x:v>
      </x:c>
      <x:c r="G4" s="20" t="str">
        <x:v>已发现岗位</x:v>
      </x:c>
      <x:c r="H4" s="20" t="str">
        <x:v>https://example.com/yuanshan/jobs</x:v>
      </x:c>
      <x:c r="I4" s="20" t="str">
        <x:v>虚构示例。培养计划已披露，轮岗地点需要确认。</x:v>
      </x:c>
    </x:row>
    <x:row r="5">
      <x:c r="A5" s="20" t="str">
        <x:v>拾光文化科技有限公司（虚构）</x:v>
      </x:c>
      <x:c r="B5" s="20" t="str">
        <x:v>民营｜小型企业</x:v>
      </x:c>
      <x:c r="C5" s="20" t="str">
        <x:v>文化科技</x:v>
      </x:c>
      <x:c r="D5" s="20" t="str">
        <x:v>上海</x:v>
      </x:c>
      <x:c r="E5" s="20" t="str">
        <x:v>内容运营、社区运营、活动执行</x:v>
      </x:c>
      <x:c r="F5" s="20" t="str">
        <x:v>关注</x:v>
      </x:c>
      <x:c r="G5" s="20" t="str">
        <x:v>已发现岗位</x:v>
      </x:c>
      <x:c r="H5" s="20" t="str">
        <x:v>https://example.com/shiguang/careers</x:v>
      </x:c>
      <x:c r="I5" s="20" t="str">
        <x:v>虚构示例。职责边界清楚，团队规模和晋升机制未披露。</x:v>
      </x:c>
    </x:row>
    <x:row r="6">
      <x:c r="A6" s="20" t="str">
        <x:v>云栈软件服务有限公司（虚构）</x:v>
      </x:c>
      <x:c r="B6" s="20" t="str">
        <x:v>民营｜成长型企业</x:v>
      </x:c>
      <x:c r="C6" s="20" t="str">
        <x:v>企业软件服务</x:v>
      </x:c>
      <x:c r="D6" s="20" t="str">
        <x:v>深圳、远程</x:v>
      </x:c>
      <x:c r="E6" s="20" t="str">
        <x:v>客户成功、软件测试、实施支持</x:v>
      </x:c>
      <x:c r="F6" s="20" t="str">
        <x:v>关注</x:v>
      </x:c>
      <x:c r="G6" s="20" t="str">
        <x:v>待复核</x:v>
      </x:c>
      <x:c r="H6" s="20" t="str">
        <x:v>https://example.com/yunzhan/jobs</x:v>
      </x:c>
      <x:c r="I6" s="20" t="str">
        <x:v>虚构示例。发现招聘线索，当前届次和正式入口需要复核。</x:v>
      </x:c>
    </x:row>
    <x:row r="7">
      <x:c r="A7" s="20" t="str">
        <x:v>新桥城市服务中心（虚构）</x:v>
      </x:c>
      <x:c r="B7" s="20" t="str">
        <x:v>社会组织｜中型机构</x:v>
      </x:c>
      <x:c r="C7" s="20" t="str">
        <x:v>公共服务</x:v>
      </x:c>
      <x:c r="D7" s="20" t="str">
        <x:v>南京</x:v>
      </x:c>
      <x:c r="E7" s="20" t="str">
        <x:v>项目助理、公众沟通、活动协调</x:v>
      </x:c>
      <x:c r="F7" s="20" t="str">
        <x:v>储备</x:v>
      </x:c>
      <x:c r="G7" s="20" t="str">
        <x:v>已发现岗位</x:v>
      </x:c>
      <x:c r="H7" s="20" t="str">
        <x:v>https://example.com/xinqiao/opportunities</x:v>
      </x:c>
      <x:c r="I7" s="20" t="str">
        <x:v>虚构示例。项目周期清楚，续约安排需在面试中确认。</x:v>
      </x:c>
    </x:row>
    <x:row r="8">
      <x:c r="A8" s="20" t="str">
        <x:v>森野生物技术有限公司（虚构）</x:v>
      </x:c>
      <x:c r="B8" s="20" t="str">
        <x:v>民营｜初创企业</x:v>
      </x:c>
      <x:c r="C8" s="20" t="str">
        <x:v>生命科学</x:v>
      </x:c>
      <x:c r="D8" s="20" t="str">
        <x:v>广州</x:v>
      </x:c>
      <x:c r="E8" s="20" t="str">
        <x:v>实验支持、质量文档、研究协调</x:v>
      </x:c>
      <x:c r="F8" s="20" t="str">
        <x:v>储备</x:v>
      </x:c>
      <x:c r="G8" s="20" t="str">
        <x:v>已核验暂无岗位</x:v>
      </x:c>
      <x:c r="H8" s="20" t="str">
        <x:v>https://example.com/senye/careers</x:v>
      </x:c>
      <x:c r="I8" s="20" t="str">
        <x:v>虚构示例。当前未发现适配岗位，保留为后续观察对象。</x:v>
      </x:c>
    </x:row>
  </x:sheetData>
  <x:mergeCells>
    <x:mergeCell ref="A1:I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6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10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12" hidden="0" customWidth="1"/>
  </x:cols>
  <x:sheetData>
    <x:row r="1">
      <x:c r="A1" s="20" t="str">
        <x:v>岗位清单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2"/>
    </x:row>
    <x:row r="2">
      <x:c r="A2" s="17" t="str">
        <x:v>岗位所属企业</x:v>
      </x:c>
      <x:c r="B2" s="18" t="str">
        <x:v>岗位名称</x:v>
      </x:c>
      <x:c r="C2" s="18" t="str">
        <x:v>工作地点</x:v>
      </x:c>
      <x:c r="D2" s="18" t="str">
        <x:v>招聘状态</x:v>
      </x:c>
      <x:c r="E2" s="18" t="str">
        <x:v>截止日期</x:v>
      </x:c>
      <x:c r="F2" s="18" t="str">
        <x:v>岗位新鲜度</x:v>
      </x:c>
      <x:c r="G2" s="18" t="str">
        <x:v>核心工作内容</x:v>
      </x:c>
      <x:c r="H2" s="18" t="str">
        <x:v>硬性门槛</x:v>
      </x:c>
      <x:c r="I2" s="18" t="str">
        <x:v>硬性门槛判断</x:v>
      </x:c>
      <x:c r="J2" s="18" t="str">
        <x:v>优先条件</x:v>
      </x:c>
      <x:c r="K2" s="18" t="str">
        <x:v>岗位价值</x:v>
      </x:c>
      <x:c r="L2" s="18" t="str">
        <x:v>岗位价值依据</x:v>
      </x:c>
      <x:c r="M2" s="18" t="str">
        <x:v>契合指数</x:v>
      </x:c>
      <x:c r="N2" s="18" t="str">
        <x:v>评分分项</x:v>
      </x:c>
      <x:c r="O2" s="18" t="str">
        <x:v>当前行动</x:v>
      </x:c>
      <x:c r="P2" s="18" t="str">
        <x:v>招聘链接</x:v>
      </x:c>
      <x:c r="Q2" s="18" t="str">
        <x:v>来源等级及核验日期</x:v>
      </x:c>
      <x:c r="R2" s="19" t="str">
        <x:v>记录 ID</x:v>
      </x:c>
    </x:row>
    <x:row r="3">
      <x:c r="A3" s="20" t="str">
        <x:v>青岚数字产品有限公司（虚构）</x:v>
      </x:c>
      <x:c r="B3" s="20" t="str">
        <x:v>产品支持专员</x:v>
      </x:c>
      <x:c r="C3" s="20" t="str">
        <x:v>杭州</x:v>
      </x:c>
      <x:c r="D3" s="20" t="str">
        <x:v>即将截止</x:v>
      </x:c>
      <x:c r="E3" s="21" t="n">
        <x:v>46240</x:v>
      </x:c>
      <x:c r="F3" s="20" t="str">
        <x:v>新鲜</x:v>
      </x:c>
      <x:c r="G3" s="20" t="str">
        <x:v>整理用户问题、协助需求流转并跟进版本反馈。</x:v>
      </x:c>
      <x:c r="H3" s="20" t="str">
        <x:v>本科及以上，2027届，可在杭州工作。</x:v>
      </x:c>
      <x:c r="I3" s="20" t="str">
        <x:v>满足</x:v>
      </x:c>
      <x:c r="J3" s="20" t="str">
        <x:v>有用户访谈、项目协作或产品体验分析经历。</x:v>
      </x:c>
      <x:c r="K3" s="20" t="str">
        <x:v>高</x:v>
      </x:c>
      <x:c r="L3" s="20" t="str">
        <x:v>职责清楚，培训安排完整，能积累跨团队协作经验。</x:v>
      </x:c>
      <x:c r="M3" s="20" t="n">
        <x:v>83</x:v>
      </x:c>
      <x:c r="N3" s="20" t="str">
        <x:v>职责 29/35｜证据 20/25｜优先条件 15/20｜工作条件 19/20</x:v>
      </x:c>
      <x:c r="O3" s="20" t="str">
        <x:v>立即投递</x:v>
      </x:c>
      <x:c r="P3" s="20" t="str">
        <x:v>https://example.com/qinglan/jobs/product-support</x:v>
      </x:c>
      <x:c r="Q3" s="20" t="str">
        <x:v>官方｜2026-08-02</x:v>
      </x:c>
      <x:c r="R3" s="20" t="str">
        <x:v>青岚数字产品有限公司（虚构）|2027届|2027届校园招聘|产品支持专员|杭州</x:v>
      </x:c>
    </x:row>
    <x:row r="4">
      <x:c r="A4" s="20" t="str">
        <x:v>远山智能制造有限公司（虚构）</x:v>
      </x:c>
      <x:c r="B4" s="20" t="str">
        <x:v>供应链项目协调员</x:v>
      </x:c>
      <x:c r="C4" s="20" t="str">
        <x:v>苏州</x:v>
      </x:c>
      <x:c r="D4" s="20" t="str">
        <x:v>招募中</x:v>
      </x:c>
      <x:c r="E4" s="21" t="n">
        <x:v>46280</x:v>
      </x:c>
      <x:c r="F4" s="20" t="str">
        <x:v>新鲜</x:v>
      </x:c>
      <x:c r="G4" s="20" t="str">
        <x:v>跟进供应计划、会议事项和跨部门项目节点。</x:v>
      </x:c>
      <x:c r="H4" s="20" t="str">
        <x:v>本科及以上，能接受苏州工作和短期轮岗。</x:v>
      </x:c>
      <x:c r="I4" s="20" t="str">
        <x:v>满足</x:v>
      </x:c>
      <x:c r="J4" s="20" t="str">
        <x:v>具备活动组织、项目排期或数据整理经验。</x:v>
      </x:c>
      <x:c r="K4" s="20" t="str">
        <x:v>高</x:v>
      </x:c>
      <x:c r="L4" s="20" t="str">
        <x:v>培养路径和轮岗安排明确，工作内容可迁移性强。</x:v>
      </x:c>
      <x:c r="M4" s="20" t="n">
        <x:v>76</x:v>
      </x:c>
      <x:c r="N4" s="20" t="str">
        <x:v>职责 27/35｜证据 18/25｜优先条件 13/20｜工作条件 18/20</x:v>
      </x:c>
      <x:c r="O4" s="20" t="str">
        <x:v>本周投递</x:v>
      </x:c>
      <x:c r="P4" s="20" t="str">
        <x:v>https://example.com/yuanshan/jobs/supply-project</x:v>
      </x:c>
      <x:c r="Q4" s="20" t="str">
        <x:v>官方｜2026-08-02</x:v>
      </x:c>
      <x:c r="R4" s="20" t="str">
        <x:v>远山智能制造有限公司（虚构）|2027届|青年人才计划|供应链项目协调员|苏州</x:v>
      </x:c>
    </x:row>
    <x:row r="5">
      <x:c r="A5" s="20" t="str">
        <x:v>拾光文化科技有限公司（虚构）</x:v>
      </x:c>
      <x:c r="B5" s="20" t="str">
        <x:v>内容运营助理</x:v>
      </x:c>
      <x:c r="C5" s="20" t="str">
        <x:v>上海</x:v>
      </x:c>
      <x:c r="D5" s="20" t="str">
        <x:v>滚动招聘</x:v>
      </x:c>
      <x:c r="E5" s="21" t="str">
        <x:v>未披露</x:v>
      </x:c>
      <x:c r="F5" s="20" t="str">
        <x:v>新鲜</x:v>
      </x:c>
      <x:c r="G5" s="20" t="str">
        <x:v>维护内容排期、整理反馈并协助线上活动执行。</x:v>
      </x:c>
      <x:c r="H5" s="20" t="str">
        <x:v>本科及以上，可提供文字或活动作品。</x:v>
      </x:c>
      <x:c r="I5" s="20" t="str">
        <x:v>满足</x:v>
      </x:c>
      <x:c r="J5" s="20" t="str">
        <x:v>有社团内容、编辑或社区维护经历。</x:v>
      </x:c>
      <x:c r="K5" s="20" t="str">
        <x:v>中</x:v>
      </x:c>
      <x:c r="L5" s="20" t="str">
        <x:v>职责具体，团队规模和晋升机制仍需确认。</x:v>
      </x:c>
      <x:c r="M5" s="20" t="n">
        <x:v>69</x:v>
      </x:c>
      <x:c r="N5" s="20" t="str">
        <x:v>职责 25/35｜证据 17/25｜优先条件 10/20｜工作条件 17/20</x:v>
      </x:c>
      <x:c r="O5" s="20" t="str">
        <x:v>本周投递</x:v>
      </x:c>
      <x:c r="P5" s="20" t="str">
        <x:v>https://example.com/shiguang/jobs/content-operations</x:v>
      </x:c>
      <x:c r="Q5" s="20" t="str">
        <x:v>官方关联渠道｜2026-08-02</x:v>
      </x:c>
      <x:c r="R5" s="20" t="str">
        <x:v>拾光文化科技有限公司（虚构）|不限届次|内容团队招聘|内容运营助理|上海</x:v>
      </x:c>
    </x:row>
    <x:row r="6">
      <x:c r="A6" s="20" t="str">
        <x:v>云栈软件服务有限公司（虚构）</x:v>
      </x:c>
      <x:c r="B6" s="20" t="str">
        <x:v>客户成功助理</x:v>
      </x:c>
      <x:c r="C6" s="20" t="str">
        <x:v>深圳、远程</x:v>
      </x:c>
      <x:c r="D6" s="20" t="str">
        <x:v>待确认</x:v>
      </x:c>
      <x:c r="E6" s="21" t="n">
        <x:v>46265</x:v>
      </x:c>
      <x:c r="F6" s="20" t="str">
        <x:v>新鲜</x:v>
      </x:c>
      <x:c r="G6" s="20" t="str">
        <x:v>整理客户问题、跟进产品使用情况并协调解决方案。</x:v>
      </x:c>
      <x:c r="H6" s="20" t="str">
        <x:v>学历和届次要求尚未完整披露。</x:v>
      </x:c>
      <x:c r="I6" s="20" t="str">
        <x:v>待确认</x:v>
      </x:c>
      <x:c r="J6" s="20" t="str">
        <x:v>沟通表达清楚，具备软件产品体验或服务经历。</x:v>
      </x:c>
      <x:c r="K6" s="20" t="str">
        <x:v>待确认</x:v>
      </x:c>
      <x:c r="L6" s="20" t="str">
        <x:v>职责方向可判断，合同主体和培养安排尚未确认。</x:v>
      </x:c>
      <x:c r="M6" s="20" t="n">
        <x:v>63</x:v>
      </x:c>
      <x:c r="N6" s="20" t="str">
        <x:v>职责 22/35｜证据 15/25｜优先条件 8/20｜工作条件 18/20</x:v>
      </x:c>
      <x:c r="O6" s="20" t="str">
        <x:v>继续核验</x:v>
      </x:c>
      <x:c r="P6" s="20" t="str">
        <x:v>https://example.com/yunzhan/jobs/customer-success</x:v>
      </x:c>
      <x:c r="Q6" s="20" t="str">
        <x:v>第三方待复核｜2026-08-02</x:v>
      </x:c>
      <x:c r="R6" s="20" t="str">
        <x:v>云栈软件服务有限公司（虚构）|2027届|客户体验岗位线索|客户成功助理|深圳、远程</x:v>
      </x:c>
    </x:row>
    <x:row r="7">
      <x:c r="A7" s="20" t="str">
        <x:v>新桥城市服务中心（虚构）</x:v>
      </x:c>
      <x:c r="B7" s="20" t="str">
        <x:v>项目助理</x:v>
      </x:c>
      <x:c r="C7" s="20" t="str">
        <x:v>南京</x:v>
      </x:c>
      <x:c r="D7" s="20" t="str">
        <x:v>已截止</x:v>
      </x:c>
      <x:c r="E7" s="21" t="n">
        <x:v>46233</x:v>
      </x:c>
      <x:c r="F7" s="20" t="str">
        <x:v>新鲜</x:v>
      </x:c>
      <x:c r="G7" s="20" t="str">
        <x:v>协助公众活动、项目记录和合作方沟通。</x:v>
      </x:c>
      <x:c r="H7" s="20" t="str">
        <x:v>本科及以上，可在南京线下工作。</x:v>
      </x:c>
      <x:c r="I7" s="20" t="str">
        <x:v>满足</x:v>
      </x:c>
      <x:c r="J7" s="20" t="str">
        <x:v>有志愿服务、活动组织或公众沟通经历。</x:v>
      </x:c>
      <x:c r="K7" s="20" t="str">
        <x:v>中</x:v>
      </x:c>
      <x:c r="L7" s="20" t="str">
        <x:v>工作内容清楚，项目周期和续约机制已披露。</x:v>
      </x:c>
      <x:c r="M7" s="20" t="n">
        <x:v>66</x:v>
      </x:c>
      <x:c r="N7" s="20" t="str">
        <x:v>职责 24/35｜证据 16/25｜优先条件 9/20｜工作条件 17/20</x:v>
      </x:c>
      <x:c r="O7" s="20" t="str">
        <x:v>暂不处理</x:v>
      </x:c>
      <x:c r="P7" s="20" t="str">
        <x:v>https://example.com/xinqiao/jobs/project-assistant</x:v>
      </x:c>
      <x:c r="Q7" s="20" t="str">
        <x:v>官方｜2026-08-02</x:v>
      </x:c>
      <x:c r="R7" s="20" t="str">
        <x:v>新桥城市服务中心（虚构）|2027届|社区项目助理招聘|项目助理|南京</x:v>
      </x:c>
    </x:row>
  </x:sheetData>
  <x:mergeCells>
    <x:mergeCell ref="A1:R1"/>
  </x:mergeCells>
  <x:dataValidations count="5">
    <x:dataValidation type="list" sqref="D3:D102">
      <x:formula1>"招募中,即将截止,已预告,滚动招聘,待确认,已截止,已暂停"</x:formula1>
    </x:dataValidation>
    <x:dataValidation type="list" sqref="F3:F102">
      <x:formula1>"新鲜,需复核,过期"</x:formula1>
    </x:dataValidation>
    <x:dataValidation type="list" sqref="I3:I102">
      <x:formula1>"满足,待确认,不满足"</x:formula1>
    </x:dataValidation>
    <x:dataValidation type="list" sqref="K3:K102">
      <x:formula1>"高,中,低,待确认"</x:formula1>
    </x:dataValidation>
    <x:dataValidation type="list" sqref="O3:O102">
      <x:formula1>"立即投递,本周投递,继续核验,持续关注,暂不处理"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26" hidden="0" customWidth="1"/>
    <x:col min="9" max="9" width="26" hidden="0" customWidth="1"/>
    <x:col min="10" max="10" width="12" hidden="0" customWidth="1"/>
  </x:cols>
  <x:sheetData>
    <x:row r="1">
      <x:c r="A1" s="20" t="str">
        <x:v>投递进度</x:v>
      </x:c>
      <x:c r="B1" s="20"/>
      <x:c r="C1" s="20"/>
      <x:c r="D1" s="20"/>
      <x:c r="E1" s="20"/>
      <x:c r="F1" s="20"/>
      <x:c r="G1" s="20"/>
      <x:c r="H1" s="20"/>
      <x:c r="I1" s="20"/>
      <x:c r="J1" s="22"/>
    </x:row>
    <x:row r="2">
      <x:c r="A2" s="17" t="str">
        <x:v>企业及岗位</x:v>
      </x:c>
      <x:c r="B2" s="18" t="str">
        <x:v>投递状态</x:v>
      </x:c>
      <x:c r="C2" s="18" t="str">
        <x:v>简历版本</x:v>
      </x:c>
      <x:c r="D2" s="18" t="str">
        <x:v>投递日期</x:v>
      </x:c>
      <x:c r="E2" s="18" t="str">
        <x:v>当前环节</x:v>
      </x:c>
      <x:c r="F2" s="18" t="str">
        <x:v>下一步行动</x:v>
      </x:c>
      <x:c r="G2" s="18" t="str">
        <x:v>下一节点日期</x:v>
      </x:c>
      <x:c r="H2" s="18" t="str">
        <x:v>联系人或内推</x:v>
      </x:c>
      <x:c r="I2" s="18" t="str">
        <x:v>复盘与备注</x:v>
      </x:c>
      <x:c r="J2" s="19" t="str">
        <x:v>记录 ID</x:v>
      </x:c>
    </x:row>
    <x:row r="3">
      <x:c r="A3" s="20" t="str">
        <x:v>青岚数字产品有限公司（虚构）｜产品支持专员</x:v>
      </x:c>
      <x:c r="B3" s="20" t="str">
        <x:v>待投递</x:v>
      </x:c>
      <x:c r="C3" s="20" t="str">
        <x:v>通用版 v1</x:v>
      </x:c>
      <x:c r="D3" s="20"/>
      <x:c r="E3" s="20" t="str">
        <x:v>未开始</x:v>
      </x:c>
      <x:c r="F3" s="20" t="str">
        <x:v>立即投递</x:v>
      </x:c>
      <x:c r="G3" s="20"/>
      <x:c r="H3" s="20" t="str"/>
      <x:c r="I3" s="20" t="str"/>
      <x:c r="J3" s="20" t="str">
        <x:v>青岚数字产品有限公司（虚构）|2027届|2027届校园招聘|产品支持专员|杭州</x:v>
      </x:c>
    </x:row>
    <x:row r="4">
      <x:c r="A4" s="20" t="str">
        <x:v>远山智能制造有限公司（虚构）｜供应链项目协调员</x:v>
      </x:c>
      <x:c r="B4" s="20" t="str">
        <x:v>待投递</x:v>
      </x:c>
      <x:c r="C4" s="20" t="str">
        <x:v>通用版 v1</x:v>
      </x:c>
      <x:c r="D4" s="20"/>
      <x:c r="E4" s="20" t="str">
        <x:v>未开始</x:v>
      </x:c>
      <x:c r="F4" s="20" t="str">
        <x:v>本周投递</x:v>
      </x:c>
      <x:c r="G4" s="20"/>
      <x:c r="H4" s="20" t="str"/>
      <x:c r="I4" s="20" t="str"/>
      <x:c r="J4" s="20" t="str">
        <x:v>远山智能制造有限公司（虚构）|2027届|青年人才计划|供应链项目协调员|苏州</x:v>
      </x:c>
    </x:row>
    <x:row r="5">
      <x:c r="A5" s="20" t="str">
        <x:v>拾光文化科技有限公司（虚构）｜内容运营助理</x:v>
      </x:c>
      <x:c r="B5" s="20" t="str">
        <x:v>待投递</x:v>
      </x:c>
      <x:c r="C5" s="20" t="str">
        <x:v>通用版 v1</x:v>
      </x:c>
      <x:c r="D5" s="20"/>
      <x:c r="E5" s="20" t="str">
        <x:v>未开始</x:v>
      </x:c>
      <x:c r="F5" s="20" t="str">
        <x:v>本周投递</x:v>
      </x:c>
      <x:c r="G5" s="20"/>
      <x:c r="H5" s="20" t="str"/>
      <x:c r="I5" s="20" t="str"/>
      <x:c r="J5" s="20" t="str">
        <x:v>拾光文化科技有限公司（虚构）|不限届次|内容团队招聘|内容运营助理|上海</x:v>
      </x:c>
    </x:row>
  </x:sheetData>
  <x:mergeCells>
    <x:mergeCell ref="A1:J1"/>
  </x:mergeCells>
  <x:pageMargins left="0.7" right="0.7" top="0.75" bottom="0.75" header="0.3" footer="0.3"/>
</x:worksheet>
</file>